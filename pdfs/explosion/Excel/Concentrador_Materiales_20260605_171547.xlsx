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ah\pdfs\explosion\Excel\"/>
    </mc:Choice>
  </mc:AlternateContent>
  <xr:revisionPtr revIDLastSave="0" documentId="13_ncr:1_{6562A846-A8E6-4910-9343-73EA381BB1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ALUMINIO" sheetId="2" r:id="rId2"/>
    <sheet name="VIDRIO" sheetId="3" r:id="rId3"/>
    <sheet name="HERRAJES" sheetId="4" r:id="rId4"/>
    <sheet name="OTROS" sheetId="5" r:id="rId5"/>
    <sheet name="HERRERIA" sheetId="6" r:id="rId6"/>
    <sheet name="PLASTIC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2" l="1"/>
  <c r="N31" i="2"/>
  <c r="N30" i="2"/>
  <c r="N29" i="2"/>
  <c r="N26" i="2"/>
  <c r="N23" i="2"/>
  <c r="N24" i="2"/>
  <c r="N25" i="2"/>
  <c r="N27" i="2"/>
  <c r="N28" i="2"/>
  <c r="N22" i="2"/>
  <c r="L23" i="2"/>
  <c r="L24" i="2"/>
  <c r="L25" i="2"/>
  <c r="L26" i="2"/>
  <c r="L27" i="2"/>
  <c r="L28" i="2"/>
  <c r="L29" i="2"/>
  <c r="L30" i="2"/>
  <c r="L31" i="2"/>
  <c r="L32" i="2"/>
  <c r="L22" i="2"/>
  <c r="J30" i="2"/>
  <c r="J31" i="2"/>
  <c r="J32" i="2"/>
  <c r="J29" i="2"/>
  <c r="J23" i="2"/>
  <c r="J24" i="2"/>
  <c r="J25" i="2"/>
  <c r="J22" i="2"/>
  <c r="I30" i="2"/>
  <c r="I31" i="2"/>
  <c r="I32" i="2"/>
  <c r="I26" i="2"/>
  <c r="I22" i="2"/>
  <c r="I23" i="2"/>
  <c r="I24" i="2"/>
  <c r="I25" i="2"/>
  <c r="I27" i="2"/>
  <c r="J26" i="2" s="1"/>
  <c r="I28" i="2"/>
  <c r="I29" i="2"/>
</calcChain>
</file>

<file path=xl/sharedStrings.xml><?xml version="1.0" encoding="utf-8"?>
<sst xmlns="http://schemas.openxmlformats.org/spreadsheetml/2006/main" count="142" uniqueCount="96">
  <si>
    <t>CONCENTRADOR DE MATERIALES - RESUMEN EJECUTIVO</t>
  </si>
  <si>
    <t xml:space="preserve">Fecha de generación: </t>
  </si>
  <si>
    <t>05/06/2026 17:15:45</t>
  </si>
  <si>
    <t>TOTALES GENERALES</t>
  </si>
  <si>
    <t xml:space="preserve">Presupuestos procesados: </t>
  </si>
  <si>
    <t xml:space="preserve">Partidas procesadas: </t>
  </si>
  <si>
    <t xml:space="preserve">Materiales concentrados: </t>
  </si>
  <si>
    <t>RESUMEN POR ALMACÉN</t>
  </si>
  <si>
    <t>Almacén</t>
  </si>
  <si>
    <t>Materiales</t>
  </si>
  <si>
    <t>Unidad</t>
  </si>
  <si>
    <t>Cantidad Total</t>
  </si>
  <si>
    <t>ALUMINIO</t>
  </si>
  <si>
    <t>Tramos</t>
  </si>
  <si>
    <t>VIDRIO</t>
  </si>
  <si>
    <t>Hojas</t>
  </si>
  <si>
    <t>HERRAJES</t>
  </si>
  <si>
    <t>Piezas</t>
  </si>
  <si>
    <t>OTROS</t>
  </si>
  <si>
    <t>HERRERIA</t>
  </si>
  <si>
    <t>Kilogramos</t>
  </si>
  <si>
    <t>PLASTICOS</t>
  </si>
  <si>
    <t>Clave</t>
  </si>
  <si>
    <t>Descripción</t>
  </si>
  <si>
    <t>Metros Totales (m)</t>
  </si>
  <si>
    <t>Largo Tramo (m)</t>
  </si>
  <si>
    <t>TRAMOS</t>
  </si>
  <si>
    <t>1618</t>
  </si>
  <si>
    <t>FIJO Y BATIENTE</t>
  </si>
  <si>
    <t>1668</t>
  </si>
  <si>
    <t>JUNQUILLO REDONDO 11.5</t>
  </si>
  <si>
    <t>1689</t>
  </si>
  <si>
    <t>HOJA DE LUJO</t>
  </si>
  <si>
    <t>1692</t>
  </si>
  <si>
    <t>ZOCLO</t>
  </si>
  <si>
    <t>7333</t>
  </si>
  <si>
    <t>MOSQ. LIGERO</t>
  </si>
  <si>
    <t>P20102</t>
  </si>
  <si>
    <t>HOJA FINESTRA</t>
  </si>
  <si>
    <t>P20103</t>
  </si>
  <si>
    <t>TRASLAPE FINESTRA</t>
  </si>
  <si>
    <t>P20104</t>
  </si>
  <si>
    <t>MARCO TRES VIAS FINESTRA</t>
  </si>
  <si>
    <t>P20109</t>
  </si>
  <si>
    <t>HOJA MOSQUITERO FINESTRA</t>
  </si>
  <si>
    <t>TOTAL</t>
  </si>
  <si>
    <t>m² Totales</t>
  </si>
  <si>
    <t>HOJAS</t>
  </si>
  <si>
    <t>CTV6</t>
  </si>
  <si>
    <t>CRISTAL TINTEX VERDE DE 6 MM.</t>
  </si>
  <si>
    <t>CANTIDAD</t>
  </si>
  <si>
    <t>1070000GR</t>
  </si>
  <si>
    <t>FELPA DE PLASTICO GRIS (1600MT)</t>
  </si>
  <si>
    <t>1111001CO</t>
  </si>
  <si>
    <t>CONECTOR CURVO P/VID 6 MM C/T CROMO</t>
  </si>
  <si>
    <t>1294280BL</t>
  </si>
  <si>
    <t>UNIPEGA SELLADOR ACRILICO 280ML BLANCO</t>
  </si>
  <si>
    <t>1310300CP</t>
  </si>
  <si>
    <t>PIJA ACERO INOX PH 10 X 3" C/P IMP</t>
  </si>
  <si>
    <t>131601200</t>
  </si>
  <si>
    <t>TORNILLO ACERO INOX PH 3/16 X 1/2</t>
  </si>
  <si>
    <t>204803100</t>
  </si>
  <si>
    <t>ESCUADRA DE ALUM OPRESOR AC INOX P/PUERTA SERIE 1400 MOD 1312</t>
  </si>
  <si>
    <t>212912010</t>
  </si>
  <si>
    <t>TELA MOSQUITERO PET FCS8996-M 1.20 X 10</t>
  </si>
  <si>
    <t>2162000GR</t>
  </si>
  <si>
    <t>TAQUETE DE PLASTICO DE 1/4" GRIS ML</t>
  </si>
  <si>
    <t>8016105NE</t>
  </si>
  <si>
    <t>PERFIL DE VINIL EXT VH-016 10.5mm NEGRO</t>
  </si>
  <si>
    <t>1110000SA</t>
  </si>
  <si>
    <t>Material 1110000SA</t>
  </si>
  <si>
    <t>P001</t>
  </si>
  <si>
    <t>PRUEBA1</t>
  </si>
  <si>
    <t>P002</t>
  </si>
  <si>
    <t>PRUEBA 2</t>
  </si>
  <si>
    <t>PA33438</t>
  </si>
  <si>
    <t>PERNO ANCLA DE 3¾" * 3/8"</t>
  </si>
  <si>
    <t>TRAMOS 6m</t>
  </si>
  <si>
    <t>AC118</t>
  </si>
  <si>
    <t>ANGULO DE 1" * 1/8"</t>
  </si>
  <si>
    <t>PTR32V</t>
  </si>
  <si>
    <t>PTR DE 3" X 2" VERDE</t>
  </si>
  <si>
    <t>R200-18</t>
  </si>
  <si>
    <t>TUBULAR DE 2" X 1" C-18</t>
  </si>
  <si>
    <t>S316112</t>
  </si>
  <si>
    <t>SOLERA DE 3/16" * 1 ½"</t>
  </si>
  <si>
    <t>PRUEBA 002</t>
  </si>
  <si>
    <t>ANCHO</t>
  </si>
  <si>
    <t>CANT. ANCHO</t>
  </si>
  <si>
    <t>CANT. ALTO</t>
  </si>
  <si>
    <t>ALTO</t>
  </si>
  <si>
    <t>PIEZAS</t>
  </si>
  <si>
    <t>MTS.</t>
  </si>
  <si>
    <t>PZAS. P</t>
  </si>
  <si>
    <t>CALC. TRS.</t>
  </si>
  <si>
    <t>DIFERENCIA ENTRE REAL VS SIST.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</si>
</sst>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baseColWidth="10" defaultColWidth="9.140625" defaultRowHeight="15" x14ac:dyDescent="0.25"/>
  <cols>
    <col min="1" max="4" width="25" customWidth="1"/>
  </cols>
  <sheetData>
    <row r="1" spans="1:4" ht="18.75" x14ac:dyDescent="0.3">
      <c r="A1" s="3" t="s">
        <v>0</v>
      </c>
      <c r="B1" s="4"/>
      <c r="C1" s="4"/>
      <c r="D1" s="4"/>
    </row>
    <row r="3" spans="1:4" x14ac:dyDescent="0.25">
      <c r="A3" t="s">
        <v>1</v>
      </c>
      <c r="B3" t="s">
        <v>2</v>
      </c>
    </row>
    <row r="5" spans="1:4" x14ac:dyDescent="0.25">
      <c r="A5" s="1" t="s">
        <v>3</v>
      </c>
    </row>
    <row r="6" spans="1:4" x14ac:dyDescent="0.25">
      <c r="A6" t="s">
        <v>4</v>
      </c>
      <c r="B6">
        <v>1</v>
      </c>
    </row>
    <row r="7" spans="1:4" x14ac:dyDescent="0.25">
      <c r="A7" t="s">
        <v>5</v>
      </c>
      <c r="B7">
        <v>5</v>
      </c>
    </row>
    <row r="8" spans="1:4" x14ac:dyDescent="0.25">
      <c r="A8" t="s">
        <v>6</v>
      </c>
      <c r="B8">
        <v>28</v>
      </c>
    </row>
    <row r="10" spans="1:4" x14ac:dyDescent="0.25">
      <c r="A10" s="1" t="s">
        <v>7</v>
      </c>
    </row>
    <row r="11" spans="1:4" x14ac:dyDescent="0.25">
      <c r="A11" s="2" t="s">
        <v>8</v>
      </c>
      <c r="B11" s="2" t="s">
        <v>9</v>
      </c>
      <c r="C11" s="2" t="s">
        <v>10</v>
      </c>
      <c r="D11" s="2" t="s">
        <v>11</v>
      </c>
    </row>
    <row r="12" spans="1:4" x14ac:dyDescent="0.25">
      <c r="A12" t="s">
        <v>12</v>
      </c>
      <c r="B12">
        <v>9</v>
      </c>
      <c r="C12" t="s">
        <v>13</v>
      </c>
      <c r="D12">
        <v>34</v>
      </c>
    </row>
    <row r="13" spans="1:4" x14ac:dyDescent="0.25">
      <c r="A13" t="s">
        <v>14</v>
      </c>
      <c r="B13">
        <v>1</v>
      </c>
      <c r="C13" t="s">
        <v>15</v>
      </c>
      <c r="D13">
        <v>5</v>
      </c>
    </row>
    <row r="14" spans="1:4" x14ac:dyDescent="0.25">
      <c r="A14" t="s">
        <v>16</v>
      </c>
      <c r="B14">
        <v>9</v>
      </c>
      <c r="C14" t="s">
        <v>17</v>
      </c>
      <c r="D14">
        <v>37</v>
      </c>
    </row>
    <row r="15" spans="1:4" x14ac:dyDescent="0.25">
      <c r="A15" t="s">
        <v>18</v>
      </c>
      <c r="B15">
        <v>4</v>
      </c>
      <c r="C15" t="s">
        <v>17</v>
      </c>
      <c r="D15">
        <v>26</v>
      </c>
    </row>
    <row r="16" spans="1:4" x14ac:dyDescent="0.25">
      <c r="A16" t="s">
        <v>19</v>
      </c>
      <c r="B16">
        <v>4</v>
      </c>
      <c r="C16" t="s">
        <v>20</v>
      </c>
      <c r="D16">
        <v>765.55</v>
      </c>
    </row>
    <row r="17" spans="1:4" x14ac:dyDescent="0.25">
      <c r="A17" t="s">
        <v>21</v>
      </c>
      <c r="B17">
        <v>1</v>
      </c>
      <c r="C17" t="s">
        <v>17</v>
      </c>
      <c r="D17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abSelected="1" workbookViewId="0">
      <selection activeCell="N33" sqref="N33"/>
    </sheetView>
  </sheetViews>
  <sheetFormatPr baseColWidth="10" defaultColWidth="9.140625" defaultRowHeight="15" x14ac:dyDescent="0.25"/>
  <cols>
    <col min="1" max="1" width="15" customWidth="1"/>
    <col min="2" max="2" width="40" customWidth="1"/>
    <col min="3" max="3" width="18" customWidth="1"/>
    <col min="4" max="4" width="15" customWidth="1"/>
    <col min="5" max="5" width="12" customWidth="1"/>
  </cols>
  <sheetData>
    <row r="1" spans="1:5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x14ac:dyDescent="0.25">
      <c r="A2" t="s">
        <v>27</v>
      </c>
      <c r="B2" t="s">
        <v>28</v>
      </c>
      <c r="C2">
        <v>5.15</v>
      </c>
      <c r="D2">
        <v>6.1</v>
      </c>
      <c r="E2">
        <v>1</v>
      </c>
    </row>
    <row r="3" spans="1:5" x14ac:dyDescent="0.25">
      <c r="A3" t="s">
        <v>29</v>
      </c>
      <c r="B3" t="s">
        <v>30</v>
      </c>
      <c r="C3">
        <v>6.1</v>
      </c>
      <c r="D3">
        <v>6.1</v>
      </c>
      <c r="E3">
        <v>1</v>
      </c>
    </row>
    <row r="4" spans="1:5" x14ac:dyDescent="0.25">
      <c r="A4" t="s">
        <v>31</v>
      </c>
      <c r="B4" t="s">
        <v>32</v>
      </c>
      <c r="C4">
        <v>5.15</v>
      </c>
      <c r="D4">
        <v>6.1</v>
      </c>
      <c r="E4">
        <v>1</v>
      </c>
    </row>
    <row r="5" spans="1:5" x14ac:dyDescent="0.25">
      <c r="A5" t="s">
        <v>33</v>
      </c>
      <c r="B5" t="s">
        <v>34</v>
      </c>
      <c r="C5">
        <v>0.95</v>
      </c>
      <c r="D5">
        <v>6.1</v>
      </c>
      <c r="E5">
        <v>1</v>
      </c>
    </row>
    <row r="6" spans="1:5" x14ac:dyDescent="0.25">
      <c r="A6" t="s">
        <v>35</v>
      </c>
      <c r="B6" t="s">
        <v>36</v>
      </c>
      <c r="C6">
        <v>110.4</v>
      </c>
      <c r="D6">
        <v>6.1</v>
      </c>
      <c r="E6">
        <v>19</v>
      </c>
    </row>
    <row r="7" spans="1:5" x14ac:dyDescent="0.25">
      <c r="A7" t="s">
        <v>37</v>
      </c>
      <c r="B7" t="s">
        <v>38</v>
      </c>
      <c r="C7">
        <v>19.2</v>
      </c>
      <c r="D7">
        <v>6.1</v>
      </c>
      <c r="E7">
        <v>4</v>
      </c>
    </row>
    <row r="8" spans="1:5" x14ac:dyDescent="0.25">
      <c r="A8" t="s">
        <v>39</v>
      </c>
      <c r="B8" t="s">
        <v>40</v>
      </c>
      <c r="C8">
        <v>7.2</v>
      </c>
      <c r="D8">
        <v>6.1</v>
      </c>
      <c r="E8">
        <v>2</v>
      </c>
    </row>
    <row r="9" spans="1:5" x14ac:dyDescent="0.25">
      <c r="A9" t="s">
        <v>41</v>
      </c>
      <c r="B9" t="s">
        <v>42</v>
      </c>
      <c r="C9">
        <v>14.4</v>
      </c>
      <c r="D9">
        <v>6.1</v>
      </c>
      <c r="E9">
        <v>3</v>
      </c>
    </row>
    <row r="10" spans="1:5" x14ac:dyDescent="0.25">
      <c r="A10" t="s">
        <v>43</v>
      </c>
      <c r="B10" t="s">
        <v>44</v>
      </c>
      <c r="C10">
        <v>9.6</v>
      </c>
      <c r="D10">
        <v>6.1</v>
      </c>
      <c r="E10">
        <v>2</v>
      </c>
    </row>
    <row r="11" spans="1:5" x14ac:dyDescent="0.25">
      <c r="A11" s="1" t="s">
        <v>45</v>
      </c>
      <c r="C11">
        <v>178.15</v>
      </c>
      <c r="E11">
        <v>34</v>
      </c>
    </row>
    <row r="21" spans="1:14" x14ac:dyDescent="0.25">
      <c r="C21" t="s">
        <v>88</v>
      </c>
      <c r="D21" t="s">
        <v>87</v>
      </c>
      <c r="E21" t="s">
        <v>89</v>
      </c>
      <c r="F21" t="s">
        <v>90</v>
      </c>
      <c r="G21" t="s">
        <v>91</v>
      </c>
      <c r="H21" t="s">
        <v>93</v>
      </c>
      <c r="I21" t="s">
        <v>92</v>
      </c>
      <c r="J21" t="s">
        <v>24</v>
      </c>
      <c r="K21" t="s">
        <v>25</v>
      </c>
      <c r="L21" t="s">
        <v>94</v>
      </c>
      <c r="M21" t="s">
        <v>26</v>
      </c>
      <c r="N21" t="s">
        <v>95</v>
      </c>
    </row>
    <row r="22" spans="1:14" x14ac:dyDescent="0.25">
      <c r="A22" t="s">
        <v>27</v>
      </c>
      <c r="B22" t="s">
        <v>28</v>
      </c>
      <c r="C22">
        <v>1</v>
      </c>
      <c r="D22">
        <v>0.95</v>
      </c>
      <c r="E22">
        <v>2</v>
      </c>
      <c r="F22">
        <v>2.1</v>
      </c>
      <c r="G22">
        <v>1</v>
      </c>
      <c r="H22">
        <v>1</v>
      </c>
      <c r="I22">
        <f>(((C22*D22)+(E22*F22))*G22)*H22</f>
        <v>5.15</v>
      </c>
      <c r="J22">
        <f>I22</f>
        <v>5.15</v>
      </c>
      <c r="K22">
        <v>6.1</v>
      </c>
      <c r="L22">
        <f>J22/K22</f>
        <v>0.84426229508196737</v>
      </c>
      <c r="M22">
        <v>1</v>
      </c>
      <c r="N22">
        <f>M22-E2</f>
        <v>0</v>
      </c>
    </row>
    <row r="23" spans="1:14" x14ac:dyDescent="0.25">
      <c r="A23" t="s">
        <v>29</v>
      </c>
      <c r="B23" t="s">
        <v>30</v>
      </c>
      <c r="C23">
        <v>2</v>
      </c>
      <c r="D23">
        <v>0.95</v>
      </c>
      <c r="E23">
        <v>2</v>
      </c>
      <c r="F23">
        <v>2.1</v>
      </c>
      <c r="G23">
        <v>1</v>
      </c>
      <c r="H23">
        <v>1</v>
      </c>
      <c r="I23">
        <f>(((C23*D23)+(E23*F23))*G23)*H23</f>
        <v>6.1</v>
      </c>
      <c r="J23">
        <f t="shared" ref="J23:J25" si="0">I23</f>
        <v>6.1</v>
      </c>
      <c r="K23">
        <v>6.1</v>
      </c>
      <c r="L23">
        <f t="shared" ref="L23:L32" si="1">J23/K23</f>
        <v>1</v>
      </c>
      <c r="M23">
        <v>1</v>
      </c>
      <c r="N23">
        <f t="shared" ref="N23:N32" si="2">M23-E3</f>
        <v>0</v>
      </c>
    </row>
    <row r="24" spans="1:14" x14ac:dyDescent="0.25">
      <c r="A24" t="s">
        <v>31</v>
      </c>
      <c r="B24" t="s">
        <v>32</v>
      </c>
      <c r="C24">
        <v>1</v>
      </c>
      <c r="D24">
        <v>0.95</v>
      </c>
      <c r="E24">
        <v>2</v>
      </c>
      <c r="F24">
        <v>2.1</v>
      </c>
      <c r="G24">
        <v>1</v>
      </c>
      <c r="H24">
        <v>1</v>
      </c>
      <c r="I24">
        <f>(((C24*D24)+(E24*F24))*G24)*H24</f>
        <v>5.15</v>
      </c>
      <c r="J24">
        <f t="shared" si="0"/>
        <v>5.15</v>
      </c>
      <c r="K24">
        <v>6.1</v>
      </c>
      <c r="L24">
        <f t="shared" si="1"/>
        <v>0.84426229508196737</v>
      </c>
      <c r="M24">
        <v>1</v>
      </c>
      <c r="N24">
        <f t="shared" si="2"/>
        <v>0</v>
      </c>
    </row>
    <row r="25" spans="1:14" x14ac:dyDescent="0.25">
      <c r="A25" t="s">
        <v>33</v>
      </c>
      <c r="B25" t="s">
        <v>34</v>
      </c>
      <c r="C25">
        <v>1</v>
      </c>
      <c r="D25">
        <v>0.95</v>
      </c>
      <c r="E25">
        <v>0</v>
      </c>
      <c r="F25">
        <v>2.1</v>
      </c>
      <c r="G25">
        <v>1</v>
      </c>
      <c r="H25">
        <v>1</v>
      </c>
      <c r="I25">
        <f>(((C25*D25)+(E25*F25))*G25)*H25</f>
        <v>0.95</v>
      </c>
      <c r="J25">
        <f t="shared" si="0"/>
        <v>0.95</v>
      </c>
      <c r="K25">
        <v>6.1</v>
      </c>
      <c r="L25">
        <f t="shared" si="1"/>
        <v>0.15573770491803279</v>
      </c>
      <c r="M25">
        <v>1</v>
      </c>
      <c r="N25">
        <f t="shared" si="2"/>
        <v>0</v>
      </c>
    </row>
    <row r="26" spans="1:14" x14ac:dyDescent="0.25">
      <c r="A26" t="s">
        <v>35</v>
      </c>
      <c r="B26" t="s">
        <v>36</v>
      </c>
      <c r="C26">
        <v>2</v>
      </c>
      <c r="D26">
        <v>2.4</v>
      </c>
      <c r="E26">
        <v>2</v>
      </c>
      <c r="F26">
        <v>1.2</v>
      </c>
      <c r="G26">
        <v>1</v>
      </c>
      <c r="H26">
        <v>2</v>
      </c>
      <c r="I26">
        <f>(((C26*D26)+(E26*F26))*G26)*H26</f>
        <v>14.399999999999999</v>
      </c>
      <c r="J26">
        <f>SUM(I26:I28)</f>
        <v>166.4</v>
      </c>
      <c r="K26">
        <v>6.1</v>
      </c>
      <c r="L26">
        <f t="shared" si="1"/>
        <v>27.278688524590166</v>
      </c>
      <c r="M26">
        <v>28</v>
      </c>
      <c r="N26">
        <f>M26-E6</f>
        <v>9</v>
      </c>
    </row>
    <row r="27" spans="1:14" hidden="1" x14ac:dyDescent="0.25">
      <c r="A27" t="s">
        <v>35</v>
      </c>
      <c r="B27" t="s">
        <v>36</v>
      </c>
      <c r="C27">
        <v>2</v>
      </c>
      <c r="D27">
        <v>3</v>
      </c>
      <c r="E27">
        <v>4</v>
      </c>
      <c r="F27">
        <v>2</v>
      </c>
      <c r="G27">
        <v>2</v>
      </c>
      <c r="H27">
        <v>4</v>
      </c>
      <c r="I27">
        <f>(((C27*D27)+(E27*F27))*G27)*H27</f>
        <v>112</v>
      </c>
      <c r="K27">
        <v>6.1</v>
      </c>
      <c r="L27">
        <f t="shared" si="1"/>
        <v>0</v>
      </c>
      <c r="N27">
        <f t="shared" si="2"/>
        <v>-4</v>
      </c>
    </row>
    <row r="28" spans="1:14" hidden="1" x14ac:dyDescent="0.25">
      <c r="A28" t="s">
        <v>35</v>
      </c>
      <c r="B28" t="s">
        <v>36</v>
      </c>
      <c r="C28">
        <v>2</v>
      </c>
      <c r="D28">
        <v>3</v>
      </c>
      <c r="E28">
        <v>2</v>
      </c>
      <c r="F28">
        <v>2</v>
      </c>
      <c r="G28">
        <v>1</v>
      </c>
      <c r="H28">
        <v>4</v>
      </c>
      <c r="I28">
        <f>(((C28*D28)+(E28*F28))*G28)*H28</f>
        <v>40</v>
      </c>
      <c r="K28">
        <v>6.1</v>
      </c>
      <c r="L28">
        <f t="shared" si="1"/>
        <v>0</v>
      </c>
      <c r="N28">
        <f t="shared" si="2"/>
        <v>-2</v>
      </c>
    </row>
    <row r="29" spans="1:14" x14ac:dyDescent="0.25">
      <c r="A29" t="s">
        <v>37</v>
      </c>
      <c r="B29" t="s">
        <v>38</v>
      </c>
      <c r="C29">
        <v>2</v>
      </c>
      <c r="D29">
        <v>2.4</v>
      </c>
      <c r="E29">
        <v>4</v>
      </c>
      <c r="F29">
        <v>1.2</v>
      </c>
      <c r="G29">
        <v>1</v>
      </c>
      <c r="H29">
        <v>2</v>
      </c>
      <c r="I29">
        <f>(((C29*D29)+(E29*F29))*G29)*H29</f>
        <v>19.2</v>
      </c>
      <c r="J29">
        <f>I29</f>
        <v>19.2</v>
      </c>
      <c r="K29">
        <v>6.1</v>
      </c>
      <c r="L29">
        <f t="shared" si="1"/>
        <v>3.1475409836065573</v>
      </c>
      <c r="M29">
        <v>4</v>
      </c>
      <c r="N29">
        <f>M29-E7</f>
        <v>0</v>
      </c>
    </row>
    <row r="30" spans="1:14" x14ac:dyDescent="0.25">
      <c r="A30" t="s">
        <v>39</v>
      </c>
      <c r="B30" t="s">
        <v>40</v>
      </c>
      <c r="C30">
        <v>0</v>
      </c>
      <c r="D30">
        <v>2.4</v>
      </c>
      <c r="E30">
        <v>3</v>
      </c>
      <c r="F30">
        <v>1.2</v>
      </c>
      <c r="G30">
        <v>1</v>
      </c>
      <c r="H30">
        <v>2</v>
      </c>
      <c r="I30">
        <f>(((C30*D30)+(E30*F30))*G30)*H30</f>
        <v>7.1999999999999993</v>
      </c>
      <c r="J30">
        <f t="shared" ref="J30:J32" si="3">I30</f>
        <v>7.1999999999999993</v>
      </c>
      <c r="K30">
        <v>6.1</v>
      </c>
      <c r="L30">
        <f t="shared" si="1"/>
        <v>1.180327868852459</v>
      </c>
      <c r="M30">
        <v>2</v>
      </c>
      <c r="N30">
        <f>M30-E8</f>
        <v>0</v>
      </c>
    </row>
    <row r="31" spans="1:14" x14ac:dyDescent="0.25">
      <c r="A31" t="s">
        <v>41</v>
      </c>
      <c r="B31" t="s">
        <v>42</v>
      </c>
      <c r="C31">
        <v>2</v>
      </c>
      <c r="D31">
        <v>2.4</v>
      </c>
      <c r="E31">
        <v>2</v>
      </c>
      <c r="F31">
        <v>1.2</v>
      </c>
      <c r="G31">
        <v>1</v>
      </c>
      <c r="H31">
        <v>2</v>
      </c>
      <c r="I31">
        <f>(((C31*D31)+(E31*F31))*G31)*H31</f>
        <v>14.399999999999999</v>
      </c>
      <c r="J31">
        <f t="shared" si="3"/>
        <v>14.399999999999999</v>
      </c>
      <c r="K31">
        <v>6.1</v>
      </c>
      <c r="L31">
        <f t="shared" si="1"/>
        <v>2.360655737704918</v>
      </c>
      <c r="M31">
        <v>3</v>
      </c>
      <c r="N31">
        <f>M31-E9</f>
        <v>0</v>
      </c>
    </row>
    <row r="32" spans="1:14" x14ac:dyDescent="0.25">
      <c r="A32" t="s">
        <v>43</v>
      </c>
      <c r="B32" t="s">
        <v>44</v>
      </c>
      <c r="C32">
        <v>1</v>
      </c>
      <c r="D32">
        <v>2.4</v>
      </c>
      <c r="E32">
        <v>2</v>
      </c>
      <c r="F32">
        <v>1.2</v>
      </c>
      <c r="G32">
        <v>1</v>
      </c>
      <c r="H32">
        <v>2</v>
      </c>
      <c r="I32">
        <f>(((C32*D32)+(E32*F32))*G32)*H32</f>
        <v>9.6</v>
      </c>
      <c r="J32">
        <f t="shared" si="3"/>
        <v>9.6</v>
      </c>
      <c r="K32">
        <v>6.1</v>
      </c>
      <c r="L32">
        <f t="shared" si="1"/>
        <v>1.5737704918032787</v>
      </c>
      <c r="M32">
        <v>2</v>
      </c>
      <c r="N32">
        <f>M32-E10</f>
        <v>0</v>
      </c>
    </row>
  </sheetData>
  <sortState xmlns:xlrd2="http://schemas.microsoft.com/office/spreadsheetml/2017/richdata2" ref="A22:I32">
    <sortCondition ref="A22:A3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baseColWidth="10" defaultColWidth="9.140625" defaultRowHeight="15" x14ac:dyDescent="0.25"/>
  <cols>
    <col min="1" max="1" width="15" customWidth="1"/>
    <col min="2" max="2" width="40" customWidth="1"/>
    <col min="3" max="3" width="15" customWidth="1"/>
    <col min="4" max="4" width="12" customWidth="1"/>
  </cols>
  <sheetData>
    <row r="1" spans="1:4" x14ac:dyDescent="0.25">
      <c r="A1" s="2" t="s">
        <v>22</v>
      </c>
      <c r="B1" s="2" t="s">
        <v>23</v>
      </c>
      <c r="C1" s="2" t="s">
        <v>46</v>
      </c>
      <c r="D1" s="2" t="s">
        <v>47</v>
      </c>
    </row>
    <row r="2" spans="1:4" x14ac:dyDescent="0.25">
      <c r="A2" t="s">
        <v>48</v>
      </c>
      <c r="B2" t="s">
        <v>49</v>
      </c>
      <c r="C2">
        <v>44.25</v>
      </c>
      <c r="D2">
        <v>5</v>
      </c>
    </row>
    <row r="3" spans="1:4" x14ac:dyDescent="0.25">
      <c r="A3" s="1" t="s">
        <v>45</v>
      </c>
      <c r="C3">
        <v>44.25</v>
      </c>
      <c r="D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9.140625" defaultRowHeight="15" x14ac:dyDescent="0.25"/>
  <cols>
    <col min="1" max="1" width="15" customWidth="1"/>
    <col min="2" max="2" width="40" customWidth="1"/>
    <col min="3" max="3" width="12" customWidth="1"/>
  </cols>
  <sheetData>
    <row r="1" spans="1:3" x14ac:dyDescent="0.25">
      <c r="A1" s="2" t="s">
        <v>22</v>
      </c>
      <c r="B1" s="2" t="s">
        <v>23</v>
      </c>
      <c r="C1" s="2" t="s">
        <v>50</v>
      </c>
    </row>
    <row r="2" spans="1:3" x14ac:dyDescent="0.25">
      <c r="A2" t="s">
        <v>51</v>
      </c>
      <c r="B2" t="s">
        <v>52</v>
      </c>
      <c r="C2">
        <v>3</v>
      </c>
    </row>
    <row r="3" spans="1:3" x14ac:dyDescent="0.25">
      <c r="A3" t="s">
        <v>53</v>
      </c>
      <c r="B3" t="s">
        <v>54</v>
      </c>
      <c r="C3">
        <v>4</v>
      </c>
    </row>
    <row r="4" spans="1:3" x14ac:dyDescent="0.25">
      <c r="A4" t="s">
        <v>55</v>
      </c>
      <c r="B4" t="s">
        <v>56</v>
      </c>
      <c r="C4">
        <v>3</v>
      </c>
    </row>
    <row r="5" spans="1:3" x14ac:dyDescent="0.25">
      <c r="A5" t="s">
        <v>57</v>
      </c>
      <c r="B5" t="s">
        <v>58</v>
      </c>
      <c r="C5">
        <v>6</v>
      </c>
    </row>
    <row r="6" spans="1:3" x14ac:dyDescent="0.25">
      <c r="A6" t="s">
        <v>59</v>
      </c>
      <c r="B6" t="s">
        <v>60</v>
      </c>
      <c r="C6">
        <v>5</v>
      </c>
    </row>
    <row r="7" spans="1:3" x14ac:dyDescent="0.25">
      <c r="A7" t="s">
        <v>61</v>
      </c>
      <c r="B7" t="s">
        <v>62</v>
      </c>
      <c r="C7">
        <v>5</v>
      </c>
    </row>
    <row r="8" spans="1:3" x14ac:dyDescent="0.25">
      <c r="A8" t="s">
        <v>63</v>
      </c>
      <c r="B8" t="s">
        <v>64</v>
      </c>
      <c r="C8">
        <v>2</v>
      </c>
    </row>
    <row r="9" spans="1:3" x14ac:dyDescent="0.25">
      <c r="A9" t="s">
        <v>65</v>
      </c>
      <c r="B9" t="s">
        <v>66</v>
      </c>
      <c r="C9">
        <v>6</v>
      </c>
    </row>
    <row r="10" spans="1:3" x14ac:dyDescent="0.25">
      <c r="A10" t="s">
        <v>67</v>
      </c>
      <c r="B10" t="s">
        <v>68</v>
      </c>
      <c r="C10">
        <v>3</v>
      </c>
    </row>
    <row r="11" spans="1:3" x14ac:dyDescent="0.25">
      <c r="A11" s="1" t="s">
        <v>45</v>
      </c>
      <c r="C11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3" width="12" customWidth="1"/>
  </cols>
  <sheetData>
    <row r="1" spans="1:3" x14ac:dyDescent="0.25">
      <c r="A1" s="2" t="s">
        <v>22</v>
      </c>
      <c r="B1" s="2" t="s">
        <v>23</v>
      </c>
      <c r="C1" s="2" t="s">
        <v>50</v>
      </c>
    </row>
    <row r="2" spans="1:3" x14ac:dyDescent="0.25">
      <c r="A2" t="s">
        <v>69</v>
      </c>
      <c r="B2" t="s">
        <v>70</v>
      </c>
      <c r="C2">
        <v>6</v>
      </c>
    </row>
    <row r="3" spans="1:3" x14ac:dyDescent="0.25">
      <c r="A3" t="s">
        <v>71</v>
      </c>
      <c r="B3" t="s">
        <v>72</v>
      </c>
      <c r="C3">
        <v>12</v>
      </c>
    </row>
    <row r="4" spans="1:3" x14ac:dyDescent="0.25">
      <c r="A4" t="s">
        <v>73</v>
      </c>
      <c r="B4" t="s">
        <v>74</v>
      </c>
      <c r="C4">
        <v>4</v>
      </c>
    </row>
    <row r="5" spans="1:3" x14ac:dyDescent="0.25">
      <c r="A5" t="s">
        <v>75</v>
      </c>
      <c r="B5" t="s">
        <v>76</v>
      </c>
      <c r="C5">
        <v>4</v>
      </c>
    </row>
    <row r="6" spans="1:3" x14ac:dyDescent="0.25">
      <c r="A6" s="1" t="s">
        <v>45</v>
      </c>
      <c r="C6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9.140625" defaultRowHeight="15" x14ac:dyDescent="0.25"/>
  <cols>
    <col min="1" max="1" width="15" customWidth="1"/>
    <col min="2" max="2" width="40" customWidth="1"/>
    <col min="3" max="3" width="18" customWidth="1"/>
    <col min="4" max="4" width="12" customWidth="1"/>
  </cols>
  <sheetData>
    <row r="1" spans="1:4" x14ac:dyDescent="0.25">
      <c r="A1" s="2" t="s">
        <v>22</v>
      </c>
      <c r="B1" s="2" t="s">
        <v>23</v>
      </c>
      <c r="C1" s="2" t="s">
        <v>24</v>
      </c>
      <c r="D1" s="2" t="s">
        <v>77</v>
      </c>
    </row>
    <row r="2" spans="1:4" x14ac:dyDescent="0.25">
      <c r="A2" t="s">
        <v>78</v>
      </c>
      <c r="B2" t="s">
        <v>79</v>
      </c>
      <c r="C2">
        <v>51.4</v>
      </c>
      <c r="D2">
        <v>14</v>
      </c>
    </row>
    <row r="3" spans="1:4" x14ac:dyDescent="0.25">
      <c r="A3" t="s">
        <v>80</v>
      </c>
      <c r="B3" t="s">
        <v>81</v>
      </c>
      <c r="C3">
        <v>28.2</v>
      </c>
      <c r="D3">
        <v>14</v>
      </c>
    </row>
    <row r="4" spans="1:4" x14ac:dyDescent="0.25">
      <c r="A4" t="s">
        <v>82</v>
      </c>
      <c r="B4" t="s">
        <v>83</v>
      </c>
      <c r="C4">
        <v>77.8</v>
      </c>
      <c r="D4">
        <v>13</v>
      </c>
    </row>
    <row r="5" spans="1:4" x14ac:dyDescent="0.25">
      <c r="A5" t="s">
        <v>84</v>
      </c>
      <c r="B5" t="s">
        <v>85</v>
      </c>
      <c r="C5">
        <v>77.400000000000006</v>
      </c>
      <c r="D5">
        <v>13</v>
      </c>
    </row>
    <row r="6" spans="1:4" x14ac:dyDescent="0.25">
      <c r="A6" s="1" t="s">
        <v>45</v>
      </c>
      <c r="C6">
        <v>234.8</v>
      </c>
      <c r="D6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3" width="12" customWidth="1"/>
  </cols>
  <sheetData>
    <row r="1" spans="1:3" x14ac:dyDescent="0.25">
      <c r="A1" s="2" t="s">
        <v>22</v>
      </c>
      <c r="B1" s="2" t="s">
        <v>23</v>
      </c>
      <c r="C1" s="2" t="s">
        <v>50</v>
      </c>
    </row>
    <row r="2" spans="1:3" x14ac:dyDescent="0.25">
      <c r="A2" t="s">
        <v>73</v>
      </c>
      <c r="B2" t="s">
        <v>86</v>
      </c>
      <c r="C2">
        <v>4</v>
      </c>
    </row>
    <row r="3" spans="1:3" x14ac:dyDescent="0.25">
      <c r="A3" s="1" t="s">
        <v>45</v>
      </c>
      <c r="C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ALUMINIO</vt:lpstr>
      <vt:lpstr>VIDRIO</vt:lpstr>
      <vt:lpstr>HERRAJES</vt:lpstr>
      <vt:lpstr>OTROS</vt:lpstr>
      <vt:lpstr>HERRERIA</vt:lpstr>
      <vt:lpstr>PLASTICOS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Manzo Ruiz</cp:lastModifiedBy>
  <dcterms:created xsi:type="dcterms:W3CDTF">2026-06-05T23:15:47Z</dcterms:created>
  <dcterms:modified xsi:type="dcterms:W3CDTF">2026-06-08T15:20:39Z</dcterms:modified>
</cp:coreProperties>
</file>